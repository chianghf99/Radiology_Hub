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autoCompressPictures="0" defaultThemeVersion="124226"/>
  <xr:revisionPtr revIDLastSave="0" documentId="13_ncr:1_{5E0A1797-62CE-460E-A727-3972C6AB83D1}" xr6:coauthVersionLast="47" xr6:coauthVersionMax="47" xr10:uidLastSave="{00000000-0000-0000-0000-000000000000}"/>
  <bookViews>
    <workbookView xWindow="24000" yWindow="-555" windowWidth="12285" windowHeight="12765" xr2:uid="{00000000-000D-0000-FFFF-FFFF00000000}"/>
  </bookViews>
  <sheets>
    <sheet name="Sheet1" sheetId="1" r:id="rId1"/>
    <sheet name="Sheet2" sheetId="2" r:id="rId2"/>
    <sheet name="Sheet3" sheetId="3" r:id="rId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21" i="1" l="1"/>
  <c r="N21" i="1"/>
  <c r="M17" i="1"/>
  <c r="M18" i="1"/>
  <c r="M19" i="1"/>
  <c r="M20" i="1"/>
  <c r="M16" i="1"/>
  <c r="M22" i="1"/>
  <c r="N20" i="1"/>
  <c r="N19" i="1"/>
  <c r="N17" i="1"/>
  <c r="N18" i="1"/>
  <c r="N16" i="1"/>
</calcChain>
</file>

<file path=xl/sharedStrings.xml><?xml version="1.0" encoding="utf-8"?>
<sst xmlns="http://schemas.openxmlformats.org/spreadsheetml/2006/main" count="104" uniqueCount="28">
  <si>
    <t>週一</t>
    <phoneticPr fontId="1" type="noConversion"/>
  </si>
  <si>
    <t>週二</t>
    <phoneticPr fontId="1" type="noConversion"/>
  </si>
  <si>
    <t>週三</t>
    <phoneticPr fontId="1" type="noConversion"/>
  </si>
  <si>
    <t>週四</t>
    <phoneticPr fontId="1" type="noConversion"/>
  </si>
  <si>
    <t>週五</t>
    <phoneticPr fontId="1" type="noConversion"/>
  </si>
  <si>
    <t>週六</t>
    <phoneticPr fontId="1" type="noConversion"/>
  </si>
  <si>
    <t>週日</t>
    <phoneticPr fontId="1" type="noConversion"/>
  </si>
  <si>
    <t>休假時段</t>
    <phoneticPr fontId="1" type="noConversion"/>
  </si>
  <si>
    <t>黃俊肇</t>
    <phoneticPr fontId="1" type="noConversion"/>
  </si>
  <si>
    <t>周兆亮</t>
    <phoneticPr fontId="1" type="noConversion"/>
  </si>
  <si>
    <t>固定週三較不方便</t>
    <phoneticPr fontId="1" type="noConversion"/>
  </si>
  <si>
    <t>Total</t>
    <phoneticPr fontId="1" type="noConversion"/>
  </si>
  <si>
    <t>固定不方便時段</t>
  </si>
  <si>
    <t>黃勇評</t>
    <phoneticPr fontId="1" type="noConversion"/>
  </si>
  <si>
    <t>加權</t>
    <phoneticPr fontId="1" type="noConversion"/>
  </si>
  <si>
    <t>平日x1</t>
    <phoneticPr fontId="1" type="noConversion"/>
  </si>
  <si>
    <t>週六x1.5</t>
    <phoneticPr fontId="1" type="noConversion"/>
  </si>
  <si>
    <r>
      <t>假日x</t>
    </r>
    <r>
      <rPr>
        <sz val="12"/>
        <color theme="1"/>
        <rFont val="新細明體"/>
        <family val="1"/>
        <charset val="136"/>
      </rPr>
      <t>2</t>
    </r>
    <phoneticPr fontId="1" type="noConversion"/>
  </si>
  <si>
    <t>姜信帆</t>
    <phoneticPr fontId="1" type="noConversion"/>
  </si>
  <si>
    <t>台北</t>
    <phoneticPr fontId="1" type="noConversion"/>
  </si>
  <si>
    <t>淡水</t>
    <phoneticPr fontId="1" type="noConversion"/>
  </si>
  <si>
    <t>謝棖智</t>
    <phoneticPr fontId="1" type="noConversion"/>
  </si>
  <si>
    <t>魏士揚</t>
    <phoneticPr fontId="1" type="noConversion"/>
  </si>
  <si>
    <t>2026-06月</t>
    <phoneticPr fontId="1" type="noConversion"/>
  </si>
  <si>
    <t>排6/1-9 (ex:W3)</t>
    <phoneticPr fontId="1" type="noConversion"/>
  </si>
  <si>
    <t>6/4-8, 6/13-14</t>
  </si>
  <si>
    <t>6/4-8</t>
    <phoneticPr fontId="1" type="noConversion"/>
  </si>
  <si>
    <t>6/13-14,20,27,28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</si>
</sst>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12" x14ac:knownFonts="1">
    <font>
      <sz val="12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u/>
      <sz val="12"/>
      <color theme="10"/>
      <name val="新細明體"/>
      <family val="2"/>
      <scheme val="minor"/>
    </font>
    <font>
      <u/>
      <sz val="12"/>
      <color theme="11"/>
      <name val="新細明體"/>
      <family val="2"/>
      <scheme val="minor"/>
    </font>
    <font>
      <sz val="12"/>
      <color theme="1"/>
      <name val="新細明體"/>
      <family val="1"/>
      <charset val="136"/>
    </font>
    <font>
      <sz val="12"/>
      <color rgb="FF008000"/>
      <name val="新細明體"/>
      <family val="1"/>
      <charset val="136"/>
    </font>
    <font>
      <b/>
      <sz val="12"/>
      <color rgb="FFFF0000"/>
      <name val="新細明體"/>
      <family val="1"/>
      <charset val="136"/>
    </font>
    <font>
      <sz val="12"/>
      <name val="新細明體"/>
      <family val="1"/>
      <charset val="136"/>
    </font>
    <font>
      <sz val="12"/>
      <color theme="1"/>
      <name val="新細明體"/>
      <family val="1"/>
      <charset val="136"/>
    </font>
    <font>
      <b/>
      <sz val="28"/>
      <color theme="1"/>
      <name val="新細明體"/>
      <family val="1"/>
      <charset val="136"/>
    </font>
    <font>
      <sz val="12"/>
      <name val="新細明體"/>
      <family val="1"/>
      <charset val="136"/>
    </font>
    <font>
      <sz val="12"/>
      <color rgb="FFFF0000"/>
      <name val="新細明體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5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2" borderId="1" xfId="0" applyFont="1" applyFill="1" applyBorder="1">
      <alignment vertical="center"/>
    </xf>
    <xf numFmtId="0" fontId="4" fillId="2" borderId="2" xfId="0" applyFont="1" applyFill="1" applyBorder="1">
      <alignment vertical="center"/>
    </xf>
    <xf numFmtId="0" fontId="4" fillId="4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4" fillId="3" borderId="1" xfId="0" applyFont="1" applyFill="1" applyBorder="1">
      <alignment vertical="center"/>
    </xf>
    <xf numFmtId="176" fontId="4" fillId="0" borderId="0" xfId="0" applyNumberFormat="1" applyFont="1">
      <alignment vertical="center"/>
    </xf>
    <xf numFmtId="0" fontId="4" fillId="2" borderId="0" xfId="0" applyFont="1" applyFill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1" fillId="0" borderId="0" xfId="0" applyFont="1">
      <alignment vertical="center"/>
    </xf>
    <xf numFmtId="0" fontId="4" fillId="5" borderId="1" xfId="0" applyFont="1" applyFill="1" applyBorder="1">
      <alignment vertical="center"/>
    </xf>
    <xf numFmtId="0" fontId="4" fillId="6" borderId="1" xfId="0" applyFont="1" applyFill="1" applyBorder="1">
      <alignment vertical="center"/>
    </xf>
    <xf numFmtId="0" fontId="10" fillId="6" borderId="1" xfId="0" applyFont="1" applyFill="1" applyBorder="1">
      <alignment vertical="center"/>
    </xf>
    <xf numFmtId="0" fontId="5" fillId="6" borderId="1" xfId="0" applyFont="1" applyFill="1" applyBorder="1">
      <alignment vertical="center"/>
    </xf>
    <xf numFmtId="0" fontId="6" fillId="6" borderId="1" xfId="0" applyFont="1" applyFill="1" applyBorder="1">
      <alignment vertical="center"/>
    </xf>
    <xf numFmtId="0" fontId="7" fillId="6" borderId="1" xfId="0" applyFont="1" applyFill="1" applyBorder="1">
      <alignment vertical="center"/>
    </xf>
    <xf numFmtId="0" fontId="4" fillId="7" borderId="1" xfId="0" applyFont="1" applyFill="1" applyBorder="1">
      <alignment vertical="center"/>
    </xf>
    <xf numFmtId="49" fontId="4" fillId="0" borderId="0" xfId="0" applyNumberFormat="1" applyFont="1">
      <alignment vertical="center"/>
    </xf>
    <xf numFmtId="0" fontId="7" fillId="0" borderId="1" xfId="0" applyFont="1" applyBorder="1">
      <alignment vertical="center"/>
    </xf>
    <xf numFmtId="0" fontId="0" fillId="8" borderId="1" xfId="0" applyFill="1" applyBorder="1">
      <alignment vertical="center"/>
    </xf>
    <xf numFmtId="0" fontId="0" fillId="5" borderId="1" xfId="0" applyFill="1" applyBorder="1">
      <alignment vertical="center"/>
    </xf>
    <xf numFmtId="0" fontId="6" fillId="6" borderId="1" xfId="0" applyFont="1" applyFill="1" applyBorder="1" applyAlignment="1">
      <alignment horizontal="right" vertical="center"/>
    </xf>
    <xf numFmtId="0" fontId="0" fillId="9" borderId="1" xfId="0" applyFill="1" applyBorder="1">
      <alignment vertical="center"/>
    </xf>
    <xf numFmtId="49" fontId="0" fillId="0" borderId="0" xfId="0" applyNumberFormat="1">
      <alignment vertical="center"/>
    </xf>
    <xf numFmtId="0" fontId="0" fillId="10" borderId="1" xfId="0" applyFill="1" applyBorder="1">
      <alignment vertical="center"/>
    </xf>
  </cellXfs>
  <cellStyles count="53">
    <cellStyle name="一般" xfId="0" builtinId="0"/>
    <cellStyle name="已瀏覽過的超連結" xfId="2" builtinId="9" hidden="1"/>
    <cellStyle name="已瀏覽過的超連結" xfId="4" builtinId="9" hidden="1"/>
    <cellStyle name="已瀏覽過的超連結" xfId="6" builtinId="9" hidden="1"/>
    <cellStyle name="已瀏覽過的超連結" xfId="8" builtinId="9" hidden="1"/>
    <cellStyle name="已瀏覽過的超連結" xfId="10" builtinId="9" hidden="1"/>
    <cellStyle name="已瀏覽過的超連結" xfId="12" builtinId="9" hidden="1"/>
    <cellStyle name="已瀏覽過的超連結" xfId="14" builtinId="9" hidden="1"/>
    <cellStyle name="已瀏覽過的超連結" xfId="16" builtinId="9" hidden="1"/>
    <cellStyle name="已瀏覽過的超連結" xfId="18" builtinId="9" hidden="1"/>
    <cellStyle name="已瀏覽過的超連結" xfId="20" builtinId="9" hidden="1"/>
    <cellStyle name="已瀏覽過的超連結" xfId="22" builtinId="9" hidden="1"/>
    <cellStyle name="已瀏覽過的超連結" xfId="24" builtinId="9" hidden="1"/>
    <cellStyle name="已瀏覽過的超連結" xfId="26" builtinId="9" hidden="1"/>
    <cellStyle name="已瀏覽過的超連結" xfId="28" builtinId="9" hidden="1"/>
    <cellStyle name="已瀏覽過的超連結" xfId="30" builtinId="9" hidden="1"/>
    <cellStyle name="已瀏覽過的超連結" xfId="32" builtinId="9" hidden="1"/>
    <cellStyle name="已瀏覽過的超連結" xfId="34" builtinId="9" hidden="1"/>
    <cellStyle name="已瀏覽過的超連結" xfId="36" builtinId="9" hidden="1"/>
    <cellStyle name="已瀏覽過的超連結" xfId="38" builtinId="9" hidden="1"/>
    <cellStyle name="已瀏覽過的超連結" xfId="40" builtinId="9" hidden="1"/>
    <cellStyle name="已瀏覽過的超連結" xfId="42" builtinId="9" hidden="1"/>
    <cellStyle name="已瀏覽過的超連結" xfId="44" builtinId="9" hidden="1"/>
    <cellStyle name="已瀏覽過的超連結" xfId="46" builtinId="9" hidden="1"/>
    <cellStyle name="已瀏覽過的超連結" xfId="48" builtinId="9" hidden="1"/>
    <cellStyle name="已瀏覽過的超連結" xfId="50" builtinId="9" hidden="1"/>
    <cellStyle name="已瀏覽過的超連結" xfId="52" builtinId="9" hidden="1"/>
    <cellStyle name="超連結" xfId="1" builtinId="8" hidden="1"/>
    <cellStyle name="超連結" xfId="3" builtinId="8" hidden="1"/>
    <cellStyle name="超連結" xfId="5" builtinId="8" hidden="1"/>
    <cellStyle name="超連結" xfId="7" builtinId="8" hidden="1"/>
    <cellStyle name="超連結" xfId="9" builtinId="8" hidden="1"/>
    <cellStyle name="超連結" xfId="11" builtinId="8" hidden="1"/>
    <cellStyle name="超連結" xfId="13" builtinId="8" hidden="1"/>
    <cellStyle name="超連結" xfId="15" builtinId="8" hidden="1"/>
    <cellStyle name="超連結" xfId="17" builtinId="8" hidden="1"/>
    <cellStyle name="超連結" xfId="19" builtinId="8" hidden="1"/>
    <cellStyle name="超連結" xfId="21" builtinId="8" hidden="1"/>
    <cellStyle name="超連結" xfId="23" builtinId="8" hidden="1"/>
    <cellStyle name="超連結" xfId="25" builtinId="8" hidden="1"/>
    <cellStyle name="超連結" xfId="27" builtinId="8" hidden="1"/>
    <cellStyle name="超連結" xfId="29" builtinId="8" hidden="1"/>
    <cellStyle name="超連結" xfId="31" builtinId="8" hidden="1"/>
    <cellStyle name="超連結" xfId="33" builtinId="8" hidden="1"/>
    <cellStyle name="超連結" xfId="35" builtinId="8" hidden="1"/>
    <cellStyle name="超連結" xfId="37" builtinId="8" hidden="1"/>
    <cellStyle name="超連結" xfId="39" builtinId="8" hidden="1"/>
    <cellStyle name="超連結" xfId="41" builtinId="8" hidden="1"/>
    <cellStyle name="超連結" xfId="43" builtinId="8" hidden="1"/>
    <cellStyle name="超連結" xfId="45" builtinId="8" hidden="1"/>
    <cellStyle name="超連結" xfId="47" builtinId="8" hidden="1"/>
    <cellStyle name="超連結" xfId="49" builtinId="8" hidden="1"/>
    <cellStyle name="超連結" xfId="51" builtinId="8" hidde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zoomScaleNormal="100" zoomScalePageLayoutView="150" workbookViewId="0">
      <selection activeCell="E21" sqref="E21"/>
    </sheetView>
  </sheetViews>
  <sheetFormatPr defaultColWidth="8.875" defaultRowHeight="16.5" x14ac:dyDescent="0.25"/>
  <cols>
    <col min="8" max="8" width="3.25" customWidth="1"/>
    <col min="10" max="10" width="6.25" customWidth="1"/>
    <col min="11" max="11" width="8.125" customWidth="1"/>
    <col min="12" max="12" width="7" customWidth="1"/>
    <col min="13" max="13" width="6.125" customWidth="1"/>
  </cols>
  <sheetData>
    <row r="1" spans="1:14" ht="38.25" x14ac:dyDescent="0.25">
      <c r="A1" s="10" t="s">
        <v>23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1"/>
      <c r="I2" s="3" t="s">
        <v>7</v>
      </c>
      <c r="J2" s="1"/>
      <c r="K2" s="1"/>
      <c r="L2" s="1"/>
      <c r="M2" s="1"/>
      <c r="N2" s="1"/>
    </row>
    <row r="3" spans="1:14" x14ac:dyDescent="0.25">
      <c r="A3" s="14">
        <v>1</v>
      </c>
      <c r="B3" s="14">
        <v>2</v>
      </c>
      <c r="C3" s="14">
        <v>3</v>
      </c>
      <c r="D3" s="14">
        <v>4</v>
      </c>
      <c r="E3" s="17">
        <v>5</v>
      </c>
      <c r="F3" s="15">
        <v>6</v>
      </c>
      <c r="G3" s="16">
        <v>7</v>
      </c>
      <c r="H3" s="1"/>
      <c r="I3" s="4" t="s">
        <v>8</v>
      </c>
      <c r="J3" s="19" t="s">
        <v>27</v>
      </c>
      <c r="K3" s="19"/>
      <c r="L3" s="25"/>
      <c r="N3" s="1"/>
    </row>
    <row r="4" spans="1:14" x14ac:dyDescent="0.25">
      <c r="A4" s="21" t="s">
        <v>18</v>
      </c>
      <c r="B4" s="21" t="s">
        <v>18</v>
      </c>
      <c r="C4" s="4" t="s">
        <v>8</v>
      </c>
      <c r="D4" s="18" t="s">
        <v>13</v>
      </c>
      <c r="E4" s="18" t="s">
        <v>13</v>
      </c>
      <c r="F4" s="18" t="s">
        <v>13</v>
      </c>
      <c r="G4" s="18" t="s">
        <v>13</v>
      </c>
      <c r="H4" s="1"/>
      <c r="I4" s="6" t="s">
        <v>9</v>
      </c>
      <c r="J4" s="19"/>
      <c r="K4" s="19"/>
      <c r="L4" s="25"/>
      <c r="N4" s="1"/>
    </row>
    <row r="5" spans="1:14" x14ac:dyDescent="0.25">
      <c r="A5" s="5"/>
      <c r="B5" s="12"/>
      <c r="C5" s="5"/>
      <c r="D5" s="5"/>
      <c r="E5" s="5"/>
      <c r="F5" s="5"/>
      <c r="G5" s="12"/>
      <c r="H5" s="1"/>
      <c r="I5" s="18" t="s">
        <v>13</v>
      </c>
      <c r="J5" s="19" t="s">
        <v>24</v>
      </c>
      <c r="K5" s="19"/>
      <c r="L5" s="25"/>
      <c r="N5" s="1"/>
    </row>
    <row r="6" spans="1:14" x14ac:dyDescent="0.25">
      <c r="A6" s="22" t="s">
        <v>21</v>
      </c>
      <c r="B6" s="22" t="s">
        <v>21</v>
      </c>
      <c r="C6" s="12" t="s">
        <v>9</v>
      </c>
      <c r="D6" s="22" t="s">
        <v>18</v>
      </c>
      <c r="E6" s="22" t="s">
        <v>18</v>
      </c>
      <c r="F6" s="22" t="s">
        <v>18</v>
      </c>
      <c r="G6" s="22" t="s">
        <v>18</v>
      </c>
      <c r="H6" s="1"/>
      <c r="I6" s="21" t="s">
        <v>18</v>
      </c>
      <c r="J6" s="19" t="s">
        <v>25</v>
      </c>
      <c r="K6" s="19"/>
      <c r="L6" s="25"/>
      <c r="N6" s="1"/>
    </row>
    <row r="7" spans="1:14" x14ac:dyDescent="0.25">
      <c r="A7" s="17">
        <v>8</v>
      </c>
      <c r="B7" s="17">
        <v>9</v>
      </c>
      <c r="C7" s="17">
        <v>10</v>
      </c>
      <c r="D7" s="17">
        <v>11</v>
      </c>
      <c r="E7" s="17">
        <v>12</v>
      </c>
      <c r="F7" s="15">
        <v>13</v>
      </c>
      <c r="G7" s="16">
        <v>14</v>
      </c>
      <c r="H7" s="1"/>
      <c r="I7" s="24" t="s">
        <v>21</v>
      </c>
      <c r="J7" s="19"/>
      <c r="K7" s="25"/>
      <c r="L7" s="25"/>
      <c r="N7" s="1"/>
    </row>
    <row r="8" spans="1:14" x14ac:dyDescent="0.25">
      <c r="A8" s="18" t="s">
        <v>13</v>
      </c>
      <c r="B8" s="4" t="s">
        <v>8</v>
      </c>
      <c r="C8" s="26" t="s">
        <v>22</v>
      </c>
      <c r="D8" s="26" t="s">
        <v>22</v>
      </c>
      <c r="E8" s="26" t="s">
        <v>22</v>
      </c>
      <c r="F8" s="26" t="s">
        <v>22</v>
      </c>
      <c r="G8" s="26" t="s">
        <v>22</v>
      </c>
      <c r="H8" s="1"/>
      <c r="I8" s="26" t="s">
        <v>22</v>
      </c>
      <c r="J8" s="19" t="s">
        <v>26</v>
      </c>
      <c r="L8" s="1"/>
      <c r="M8" s="1"/>
      <c r="N8" s="12" t="s">
        <v>8</v>
      </c>
    </row>
    <row r="9" spans="1:14" x14ac:dyDescent="0.25">
      <c r="A9" s="12"/>
      <c r="B9" s="12"/>
      <c r="C9" s="12"/>
      <c r="D9" s="12"/>
      <c r="E9" s="12"/>
      <c r="F9" s="12"/>
      <c r="G9" s="12"/>
      <c r="H9" s="1"/>
      <c r="I9" s="1"/>
      <c r="J9" s="19"/>
      <c r="K9" s="1"/>
      <c r="L9" s="1"/>
      <c r="M9" s="1"/>
      <c r="N9" s="12" t="s">
        <v>9</v>
      </c>
    </row>
    <row r="10" spans="1:14" x14ac:dyDescent="0.25">
      <c r="A10" s="22" t="s">
        <v>18</v>
      </c>
      <c r="B10" s="12" t="s">
        <v>9</v>
      </c>
      <c r="C10" s="12" t="s">
        <v>8</v>
      </c>
      <c r="D10" s="12" t="s">
        <v>8</v>
      </c>
      <c r="E10" s="12" t="s">
        <v>8</v>
      </c>
      <c r="F10" s="12" t="s">
        <v>8</v>
      </c>
      <c r="G10" s="12" t="s">
        <v>8</v>
      </c>
      <c r="H10" s="1"/>
      <c r="I10" s="8" t="s">
        <v>12</v>
      </c>
      <c r="J10" s="1"/>
      <c r="K10" s="1"/>
      <c r="L10" s="1"/>
      <c r="M10" s="1"/>
      <c r="N10" s="20" t="s">
        <v>13</v>
      </c>
    </row>
    <row r="11" spans="1:14" x14ac:dyDescent="0.25">
      <c r="A11" s="13">
        <v>15</v>
      </c>
      <c r="B11" s="13">
        <v>16</v>
      </c>
      <c r="C11" s="13">
        <v>17</v>
      </c>
      <c r="D11" s="13">
        <v>18</v>
      </c>
      <c r="E11" s="16">
        <v>19</v>
      </c>
      <c r="F11" s="16">
        <v>20</v>
      </c>
      <c r="G11" s="16">
        <v>21</v>
      </c>
      <c r="H11" s="1"/>
      <c r="I11" s="4" t="s">
        <v>8</v>
      </c>
      <c r="J11" s="1"/>
      <c r="K11" s="1"/>
      <c r="L11" s="7"/>
      <c r="M11" s="1"/>
      <c r="N11" s="22" t="s">
        <v>18</v>
      </c>
    </row>
    <row r="12" spans="1:14" x14ac:dyDescent="0.25">
      <c r="A12" s="24" t="s">
        <v>21</v>
      </c>
      <c r="B12" s="24" t="s">
        <v>21</v>
      </c>
      <c r="C12" s="24" t="s">
        <v>21</v>
      </c>
      <c r="D12" s="24" t="s">
        <v>21</v>
      </c>
      <c r="E12" s="24" t="s">
        <v>21</v>
      </c>
      <c r="F12" s="21" t="s">
        <v>18</v>
      </c>
      <c r="G12" s="4" t="s">
        <v>8</v>
      </c>
      <c r="H12" s="1"/>
      <c r="I12" s="6" t="s">
        <v>9</v>
      </c>
      <c r="J12" s="1" t="s">
        <v>10</v>
      </c>
      <c r="K12" s="1"/>
      <c r="L12" s="1"/>
      <c r="M12" s="1"/>
      <c r="N12" s="22" t="s">
        <v>21</v>
      </c>
    </row>
    <row r="13" spans="1:14" x14ac:dyDescent="0.25">
      <c r="A13" s="12"/>
      <c r="B13" s="12"/>
      <c r="C13" s="12"/>
      <c r="D13" s="12"/>
      <c r="E13" s="12"/>
      <c r="F13" s="12"/>
      <c r="G13" s="12"/>
      <c r="H13" s="1"/>
      <c r="I13" s="18" t="s">
        <v>13</v>
      </c>
      <c r="J13" s="1" t="s">
        <v>10</v>
      </c>
      <c r="K13" s="1"/>
      <c r="L13" s="1"/>
      <c r="M13" s="1"/>
      <c r="N13" s="22" t="s">
        <v>22</v>
      </c>
    </row>
    <row r="14" spans="1:14" x14ac:dyDescent="0.25">
      <c r="A14" s="22" t="s">
        <v>22</v>
      </c>
      <c r="B14" s="22" t="s">
        <v>22</v>
      </c>
      <c r="C14" s="22" t="s">
        <v>22</v>
      </c>
      <c r="D14" s="22" t="s">
        <v>22</v>
      </c>
      <c r="E14" s="22" t="s">
        <v>22</v>
      </c>
      <c r="F14" s="22" t="s">
        <v>21</v>
      </c>
      <c r="G14" s="12" t="s">
        <v>9</v>
      </c>
      <c r="H14" s="1"/>
      <c r="M14" s="1"/>
    </row>
    <row r="15" spans="1:14" x14ac:dyDescent="0.25">
      <c r="A15" s="13">
        <v>22</v>
      </c>
      <c r="B15" s="13">
        <v>23</v>
      </c>
      <c r="C15" s="13">
        <v>24</v>
      </c>
      <c r="D15" s="13">
        <v>25</v>
      </c>
      <c r="E15" s="13">
        <v>26</v>
      </c>
      <c r="F15" s="15">
        <v>27</v>
      </c>
      <c r="G15" s="23">
        <v>28</v>
      </c>
      <c r="H15" s="1"/>
      <c r="I15" s="1"/>
      <c r="J15" s="9" t="s">
        <v>15</v>
      </c>
      <c r="K15" s="9" t="s">
        <v>16</v>
      </c>
      <c r="L15" s="9" t="s">
        <v>17</v>
      </c>
      <c r="M15" s="1" t="s">
        <v>11</v>
      </c>
      <c r="N15" s="1" t="s">
        <v>14</v>
      </c>
    </row>
    <row r="16" spans="1:14" x14ac:dyDescent="0.25">
      <c r="A16" s="4" t="s">
        <v>8</v>
      </c>
      <c r="B16" s="4" t="s">
        <v>8</v>
      </c>
      <c r="C16" s="21" t="s">
        <v>18</v>
      </c>
      <c r="D16" s="21" t="s">
        <v>18</v>
      </c>
      <c r="E16" s="6" t="s">
        <v>9</v>
      </c>
      <c r="F16" s="6" t="s">
        <v>9</v>
      </c>
      <c r="G16" s="6" t="s">
        <v>9</v>
      </c>
      <c r="H16" s="1"/>
      <c r="I16" s="4" t="s">
        <v>8</v>
      </c>
      <c r="J16" s="1">
        <v>4</v>
      </c>
      <c r="K16" s="1">
        <v>0</v>
      </c>
      <c r="L16" s="1">
        <v>1</v>
      </c>
      <c r="M16" s="1">
        <f t="shared" ref="M16:M21" si="0">SUM(J16:L16)</f>
        <v>5</v>
      </c>
      <c r="N16" s="1">
        <f t="shared" ref="N16:N21" si="1">J16+K16*1.5+L16*2</f>
        <v>6</v>
      </c>
    </row>
    <row r="17" spans="1:14" x14ac:dyDescent="0.25">
      <c r="A17" s="12"/>
      <c r="B17" s="12"/>
      <c r="C17" s="12"/>
      <c r="D17" s="12"/>
      <c r="E17" s="12"/>
      <c r="F17" s="12"/>
      <c r="G17" s="12"/>
      <c r="H17" s="1"/>
      <c r="I17" s="6" t="s">
        <v>9</v>
      </c>
      <c r="J17" s="1">
        <v>3</v>
      </c>
      <c r="K17" s="1">
        <v>1</v>
      </c>
      <c r="L17" s="1">
        <v>1</v>
      </c>
      <c r="M17" s="1">
        <f t="shared" si="0"/>
        <v>5</v>
      </c>
      <c r="N17" s="1">
        <f t="shared" si="1"/>
        <v>6.5</v>
      </c>
    </row>
    <row r="18" spans="1:14" x14ac:dyDescent="0.25">
      <c r="A18" s="12" t="s">
        <v>9</v>
      </c>
      <c r="B18" s="12" t="s">
        <v>9</v>
      </c>
      <c r="C18" s="22" t="s">
        <v>21</v>
      </c>
      <c r="D18" s="22" t="s">
        <v>21</v>
      </c>
      <c r="E18" s="20" t="s">
        <v>13</v>
      </c>
      <c r="F18" s="20" t="s">
        <v>13</v>
      </c>
      <c r="G18" s="20" t="s">
        <v>13</v>
      </c>
      <c r="H18" s="1"/>
      <c r="I18" s="18" t="s">
        <v>13</v>
      </c>
      <c r="J18">
        <v>3</v>
      </c>
      <c r="K18">
        <v>1</v>
      </c>
      <c r="L18">
        <v>1</v>
      </c>
      <c r="M18" s="1">
        <f t="shared" si="0"/>
        <v>5</v>
      </c>
      <c r="N18" s="1">
        <f t="shared" si="1"/>
        <v>6.5</v>
      </c>
    </row>
    <row r="19" spans="1:14" x14ac:dyDescent="0.25">
      <c r="A19" s="17">
        <v>29</v>
      </c>
      <c r="B19" s="13">
        <v>30</v>
      </c>
      <c r="C19" s="13"/>
      <c r="D19" s="13"/>
      <c r="E19" s="13"/>
      <c r="F19" s="15"/>
      <c r="G19" s="16"/>
      <c r="H19" s="1"/>
      <c r="I19" s="21" t="s">
        <v>18</v>
      </c>
      <c r="J19">
        <v>4</v>
      </c>
      <c r="K19">
        <v>0</v>
      </c>
      <c r="L19">
        <v>1</v>
      </c>
      <c r="M19" s="1">
        <f t="shared" si="0"/>
        <v>5</v>
      </c>
      <c r="N19" s="1">
        <f t="shared" si="1"/>
        <v>6</v>
      </c>
    </row>
    <row r="20" spans="1:14" x14ac:dyDescent="0.25">
      <c r="A20" s="6" t="s">
        <v>9</v>
      </c>
      <c r="B20" s="6" t="s">
        <v>9</v>
      </c>
      <c r="C20" s="12"/>
      <c r="D20" s="12"/>
      <c r="E20" s="12"/>
      <c r="F20" s="12"/>
      <c r="G20" s="5" t="s">
        <v>19</v>
      </c>
      <c r="H20" s="1"/>
      <c r="I20" s="24" t="s">
        <v>21</v>
      </c>
      <c r="J20">
        <v>4</v>
      </c>
      <c r="K20">
        <v>0</v>
      </c>
      <c r="L20">
        <v>1</v>
      </c>
      <c r="M20" s="1">
        <f t="shared" si="0"/>
        <v>5</v>
      </c>
      <c r="N20" s="1">
        <f t="shared" si="1"/>
        <v>6</v>
      </c>
    </row>
    <row r="21" spans="1:14" x14ac:dyDescent="0.25">
      <c r="A21" s="12"/>
      <c r="B21" s="12"/>
      <c r="C21" s="12"/>
      <c r="D21" s="12"/>
      <c r="E21" s="12"/>
      <c r="F21" s="12"/>
      <c r="G21" s="5"/>
      <c r="H21" s="1"/>
      <c r="I21" s="26" t="s">
        <v>22</v>
      </c>
      <c r="J21">
        <v>3</v>
      </c>
      <c r="K21">
        <v>1</v>
      </c>
      <c r="L21">
        <v>1</v>
      </c>
      <c r="M21" s="1">
        <f t="shared" si="0"/>
        <v>5</v>
      </c>
      <c r="N21" s="1">
        <f t="shared" si="1"/>
        <v>6.5</v>
      </c>
    </row>
    <row r="22" spans="1:14" x14ac:dyDescent="0.25">
      <c r="A22" s="20" t="s">
        <v>13</v>
      </c>
      <c r="B22" s="20" t="s">
        <v>13</v>
      </c>
      <c r="C22" s="12"/>
      <c r="D22" s="12"/>
      <c r="E22" s="12"/>
      <c r="F22" s="12"/>
      <c r="G22" s="5" t="s">
        <v>20</v>
      </c>
      <c r="M22" s="9">
        <f>SUM(M16:M21)</f>
        <v>30</v>
      </c>
    </row>
    <row r="23" spans="1:14" x14ac:dyDescent="0.25">
      <c r="A23" s="11"/>
    </row>
  </sheetData>
  <phoneticPr fontId="1" type="noConversion"/>
  <pageMargins left="0.7" right="0.7" top="0.75" bottom="0.75" header="0.3" footer="0.3"/>
  <pageSetup paperSize="9" orientation="portrait" horizontalDpi="200" verticalDpi="20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75" defaultRowHeight="16.5" x14ac:dyDescent="0.25"/>
  <sheetData/>
  <phoneticPr fontId="1" type="noConversion"/>
  <pageMargins left="0.7" right="0.7" top="0.75" bottom="0.75" header="0.3" footer="0.3"/>
  <pageSetup paperSize="9" orientation="portrait" horizontalDpi="200" verticalDpi="200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8.875" defaultRowHeight="16.5" x14ac:dyDescent="0.25"/>
  <sheetData/>
  <phoneticPr fontId="1" type="noConversion"/>
  <pageMargins left="0.7" right="0.7" top="0.75" bottom="0.75" header="0.3" footer="0.3"/>
  <pageSetup paperSize="9" orientation="portrait" horizontalDpi="200" verticalDpi="2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2006-09-13T11:24:16Z</dcterms:created>
  <dcterms:modified xsi:type="dcterms:W3CDTF">2026-05-13T16:01:27Z</dcterms:modified>
  <cp:category/>
  <cp:contentStatus/>
</cp:coreProperties>
</file>